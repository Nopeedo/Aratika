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cker" sheetId="2" state="visible" r:id="rId2"/>
  </sheets>
  <definedNames>
    <definedName name="_xlnm._FilterDatabase" localSheetId="1" hidden="1">'Tracker'!$A$1:$F$47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C0E12"/>
      <sz val="10"/>
    </font>
    <font>
      <name val="Arial"/>
      <color rgb="009AA0AA"/>
    </font>
    <font>
      <name val="Arial"/>
      <b val="1"/>
      <color rgb="00B91C1C"/>
    </font>
    <font>
      <name val="Arial"/>
      <color rgb="00B45309"/>
    </font>
    <font>
      <name val="Arial"/>
      <color rgb="006B7078"/>
    </font>
    <font>
      <name val="Arial"/>
      <b val="1"/>
      <color rgb="000C0E12"/>
      <sz val="16"/>
    </font>
    <font>
      <name val="Arial"/>
      <color rgb="006B7078"/>
      <sz val="10"/>
    </font>
    <font>
      <name val="Arial"/>
      <b val="1"/>
      <color rgb="00FFFFFF"/>
    </font>
    <font>
      <name val="Arial"/>
      <sz val="11"/>
    </font>
    <font>
      <name val="Arial"/>
      <b val="1"/>
      <sz val="11"/>
    </font>
    <font>
      <name val="Arial"/>
      <b val="1"/>
      <color rgb="001F8A4C"/>
      <sz val="11"/>
    </font>
  </fonts>
  <fills count="6">
    <fill>
      <patternFill/>
    </fill>
    <fill>
      <patternFill patternType="gray125"/>
    </fill>
    <fill>
      <patternFill patternType="solid">
        <fgColor rgb="001F8A4C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ECEAE3"/>
      </patternFill>
    </fill>
  </fills>
  <borders count="2">
    <border>
      <left/>
      <right/>
      <top/>
      <bottom/>
      <diagonal/>
    </border>
    <border>
      <left style="thin">
        <color rgb="00E5E3DD"/>
      </left>
      <right style="thin">
        <color rgb="00E5E3DD"/>
      </right>
      <top style="thin">
        <color rgb="00E5E3DD"/>
      </top>
      <bottom style="thin">
        <color rgb="00E5E3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0" pivotButton="0" quotePrefix="0" xfId="0"/>
    <xf numFmtId="0" fontId="11" fillId="3" borderId="0" pivotButton="0" quotePrefix="0" xfId="0"/>
    <xf numFmtId="0" fontId="12" fillId="0" borderId="0" pivotButton="0" quotePrefix="0" xfId="0"/>
    <xf numFmtId="0" fontId="11" fillId="4" borderId="0" pivotButton="0" quotePrefix="0" xfId="0"/>
    <xf numFmtId="0" fontId="11" fillId="5" borderId="0" pivotButton="0" quotePrefix="0" xfId="0"/>
    <xf numFmtId="9" fontId="13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s="1" t="inlineStr">
        <is>
          <t>Aratika — Project Tracker</t>
        </is>
      </c>
    </row>
    <row r="2">
      <c r="A2" s="2" t="inlineStr">
        <is>
          <t>Live status of what is built and what is left. Edit the Tracker tab; these totals update automatically.</t>
        </is>
      </c>
    </row>
    <row r="4">
      <c r="A4" s="3" t="inlineStr">
        <is>
          <t>Status</t>
        </is>
      </c>
      <c r="B4" s="3" t="inlineStr">
        <is>
          <t>Count</t>
        </is>
      </c>
    </row>
    <row r="5">
      <c r="A5" s="4" t="inlineStr">
        <is>
          <t>Done</t>
        </is>
      </c>
      <c r="B5" s="5">
        <f>COUNTIF(Tracker!D:D,"Done")</f>
        <v/>
      </c>
    </row>
    <row r="6">
      <c r="A6" s="6" t="inlineStr">
        <is>
          <t>To do</t>
        </is>
      </c>
      <c r="B6" s="5">
        <f>COUNTIF(Tracker!D:D,"To do")</f>
        <v/>
      </c>
    </row>
    <row r="7">
      <c r="A7" s="7" t="inlineStr">
        <is>
          <t>Future ideas</t>
        </is>
      </c>
      <c r="B7" s="5">
        <f>COUNTIF(Tracker!D:D,"Future")</f>
        <v/>
      </c>
    </row>
    <row r="8">
      <c r="A8" s="5" t="inlineStr">
        <is>
          <t>Total items</t>
        </is>
      </c>
      <c r="B8" s="5">
        <f>SUM(B5:B7)</f>
        <v/>
      </c>
    </row>
    <row r="9">
      <c r="A9" s="5" t="inlineStr">
        <is>
          <t>% complete (excl. future)</t>
        </is>
      </c>
      <c r="B9" s="8">
        <f>B5/(B5+B6)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62" customWidth="1" min="3" max="3"/>
    <col width="10" customWidth="1" min="4" max="4"/>
    <col width="10" customWidth="1" min="5" max="5"/>
    <col width="34" customWidth="1" min="6" max="6"/>
  </cols>
  <sheetData>
    <row r="1">
      <c r="A1" s="9" t="inlineStr">
        <is>
          <t>#</t>
        </is>
      </c>
      <c r="B1" s="9" t="inlineStr">
        <is>
          <t>Category</t>
        </is>
      </c>
      <c r="C1" s="9" t="inlineStr">
        <is>
          <t>Item</t>
        </is>
      </c>
      <c r="D1" s="9" t="inlineStr">
        <is>
          <t>Status</t>
        </is>
      </c>
      <c r="E1" s="9" t="inlineStr">
        <is>
          <t>Priority</t>
        </is>
      </c>
      <c r="F1" s="9" t="inlineStr">
        <is>
          <t>Notes</t>
        </is>
      </c>
    </row>
    <row r="2">
      <c r="A2" s="10" t="n">
        <v>1</v>
      </c>
      <c r="B2" s="10" t="inlineStr">
        <is>
          <t>Foundation</t>
        </is>
      </c>
      <c r="C2" s="10" t="inlineStr">
        <is>
          <t>Next.js 16 + React 19 + TypeScript + Tailwind setup</t>
        </is>
      </c>
      <c r="D2" s="11" t="inlineStr">
        <is>
          <t>Done</t>
        </is>
      </c>
      <c r="E2" s="12" t="inlineStr">
        <is>
          <t>-</t>
        </is>
      </c>
      <c r="F2" s="13" t="inlineStr"/>
    </row>
    <row r="3">
      <c r="A3" s="10" t="n">
        <v>2</v>
      </c>
      <c r="B3" s="10" t="inlineStr">
        <is>
          <t>Foundation</t>
        </is>
      </c>
      <c r="C3" s="10" t="inlineStr">
        <is>
          <t>Supabase auth — login, register, callback</t>
        </is>
      </c>
      <c r="D3" s="11" t="inlineStr">
        <is>
          <t>Done</t>
        </is>
      </c>
      <c r="E3" s="12" t="inlineStr">
        <is>
          <t>-</t>
        </is>
      </c>
      <c r="F3" s="13" t="inlineStr"/>
    </row>
    <row r="4">
      <c r="A4" s="10" t="n">
        <v>3</v>
      </c>
      <c r="B4" s="10" t="inlineStr">
        <is>
          <t>Foundation</t>
        </is>
      </c>
      <c r="C4" s="10" t="inlineStr">
        <is>
          <t>Gated dashboard + auth-aware navbar</t>
        </is>
      </c>
      <c r="D4" s="11" t="inlineStr">
        <is>
          <t>Done</t>
        </is>
      </c>
      <c r="E4" s="12" t="inlineStr">
        <is>
          <t>-</t>
        </is>
      </c>
      <c r="F4" s="13" t="inlineStr"/>
    </row>
    <row r="5">
      <c r="A5" s="10" t="n">
        <v>4</v>
      </c>
      <c r="B5" s="10" t="inlineStr">
        <is>
          <t>Foundation</t>
        </is>
      </c>
      <c r="C5" s="10" t="inlineStr">
        <is>
          <t>Moved project off OneDrive to C:\dev\aratika</t>
        </is>
      </c>
      <c r="D5" s="11" t="inlineStr">
        <is>
          <t>Done</t>
        </is>
      </c>
      <c r="E5" s="12" t="inlineStr">
        <is>
          <t>-</t>
        </is>
      </c>
      <c r="F5" s="13" t="inlineStr">
        <is>
          <t>Fixed file-sync / build issues</t>
        </is>
      </c>
    </row>
    <row r="6">
      <c r="A6" s="10" t="n">
        <v>5</v>
      </c>
      <c r="B6" s="10" t="inlineStr">
        <is>
          <t>Information</t>
        </is>
      </c>
      <c r="C6" s="10" t="inlineStr">
        <is>
          <t>Homepage (election-urgency layout)</t>
        </is>
      </c>
      <c r="D6" s="11" t="inlineStr">
        <is>
          <t>Done</t>
        </is>
      </c>
      <c r="E6" s="12" t="inlineStr">
        <is>
          <t>-</t>
        </is>
      </c>
      <c r="F6" s="13" t="inlineStr"/>
    </row>
    <row r="7">
      <c r="A7" s="10" t="n">
        <v>6</v>
      </c>
      <c r="B7" s="10" t="inlineStr">
        <is>
          <t>Information</t>
        </is>
      </c>
      <c r="C7" s="10" t="inlineStr">
        <is>
          <t>Parties directory + 6 party pages</t>
        </is>
      </c>
      <c r="D7" s="11" t="inlineStr">
        <is>
          <t>Done</t>
        </is>
      </c>
      <c r="E7" s="12" t="inlineStr">
        <is>
          <t>-</t>
        </is>
      </c>
      <c r="F7" s="13" t="inlineStr"/>
    </row>
    <row r="8">
      <c r="A8" s="10" t="n">
        <v>7</v>
      </c>
      <c r="B8" s="10" t="inlineStr">
        <is>
          <t>Information</t>
        </is>
      </c>
      <c r="C8" s="10" t="inlineStr">
        <is>
          <t>MPs directory + filters</t>
        </is>
      </c>
      <c r="D8" s="11" t="inlineStr">
        <is>
          <t>Done</t>
        </is>
      </c>
      <c r="E8" s="12" t="inlineStr">
        <is>
          <t>-</t>
        </is>
      </c>
      <c r="F8" s="13" t="inlineStr"/>
    </row>
    <row r="9">
      <c r="A9" s="10" t="n">
        <v>8</v>
      </c>
      <c r="B9" s="10" t="inlineStr">
        <is>
          <t>Information</t>
        </is>
      </c>
      <c r="C9" s="10" t="inlineStr">
        <is>
          <t>All 123 MP profiles (122 enriched)</t>
        </is>
      </c>
      <c r="D9" s="11" t="inlineStr">
        <is>
          <t>Done</t>
        </is>
      </c>
      <c r="E9" s="12" t="inlineStr">
        <is>
          <t>-</t>
        </is>
      </c>
      <c r="F9" s="13" t="inlineStr">
        <is>
          <t>Collins still basic (page down)</t>
        </is>
      </c>
    </row>
    <row r="10">
      <c r="A10" s="10" t="n">
        <v>9</v>
      </c>
      <c r="B10" s="10" t="inlineStr">
        <is>
          <t>Information</t>
        </is>
      </c>
      <c r="C10" s="10" t="inlineStr">
        <is>
          <t>Interactive electorate map (official boundaries + 2023 results)</t>
        </is>
      </c>
      <c r="D10" s="11" t="inlineStr">
        <is>
          <t>Done</t>
        </is>
      </c>
      <c r="E10" s="12" t="inlineStr">
        <is>
          <t>-</t>
        </is>
      </c>
      <c r="F10" s="13" t="inlineStr"/>
    </row>
    <row r="11">
      <c r="A11" s="10" t="n">
        <v>10</v>
      </c>
      <c r="B11" s="10" t="inlineStr">
        <is>
          <t>Information</t>
        </is>
      </c>
      <c r="C11" s="10" t="inlineStr">
        <is>
          <t>Bills tracker — list + detail pages</t>
        </is>
      </c>
      <c r="D11" s="11" t="inlineStr">
        <is>
          <t>Done</t>
        </is>
      </c>
      <c r="E11" s="12" t="inlineStr">
        <is>
          <t>-</t>
        </is>
      </c>
      <c r="F11" s="13" t="inlineStr"/>
    </row>
    <row r="12">
      <c r="A12" s="10" t="n">
        <v>11</v>
      </c>
      <c r="B12" s="10" t="inlineStr">
        <is>
          <t>Information</t>
        </is>
      </c>
      <c r="C12" s="10" t="inlineStr">
        <is>
          <t>Policy Hub — 10 topics + per-topic pages</t>
        </is>
      </c>
      <c r="D12" s="11" t="inlineStr">
        <is>
          <t>Done</t>
        </is>
      </c>
      <c r="E12" s="12" t="inlineStr">
        <is>
          <t>-</t>
        </is>
      </c>
      <c r="F12" s="13" t="inlineStr">
        <is>
          <t>Party positions still to source</t>
        </is>
      </c>
    </row>
    <row r="13">
      <c r="A13" s="10" t="n">
        <v>12</v>
      </c>
      <c r="B13" s="10" t="inlineStr">
        <is>
          <t>Learn</t>
        </is>
      </c>
      <c r="C13" s="10" t="inlineStr">
        <is>
          <t>Learn hub + 6 modules x 4 tiers</t>
        </is>
      </c>
      <c r="D13" s="11" t="inlineStr">
        <is>
          <t>Done</t>
        </is>
      </c>
      <c r="E13" s="12" t="inlineStr">
        <is>
          <t>-</t>
        </is>
      </c>
      <c r="F13" s="13" t="inlineStr"/>
    </row>
    <row r="14">
      <c r="A14" s="10" t="n">
        <v>13</v>
      </c>
      <c r="B14" s="10" t="inlineStr">
        <is>
          <t>Learn</t>
        </is>
      </c>
      <c r="C14" s="10" t="inlineStr">
        <is>
          <t>Interactive widgets (seat allocator, build-gov, bill journey, two-votes, reveal cards)</t>
        </is>
      </c>
      <c r="D14" s="11" t="inlineStr">
        <is>
          <t>Done</t>
        </is>
      </c>
      <c r="E14" s="12" t="inlineStr">
        <is>
          <t>-</t>
        </is>
      </c>
      <c r="F14" s="13" t="inlineStr"/>
    </row>
    <row r="15">
      <c r="A15" s="10" t="n">
        <v>14</v>
      </c>
      <c r="B15" s="10" t="inlineStr">
        <is>
          <t>Learn</t>
        </is>
      </c>
      <c r="C15" s="10" t="inlineStr">
        <is>
          <t>Quizzes + progress (localStorage + account sync)</t>
        </is>
      </c>
      <c r="D15" s="11" t="inlineStr">
        <is>
          <t>Done</t>
        </is>
      </c>
      <c r="E15" s="12" t="inlineStr">
        <is>
          <t>-</t>
        </is>
      </c>
      <c r="F15" s="13" t="inlineStr"/>
    </row>
    <row r="16">
      <c r="A16" s="10" t="n">
        <v>15</v>
      </c>
      <c r="B16" s="10" t="inlineStr">
        <is>
          <t>Learn</t>
        </is>
      </c>
      <c r="C16" s="10" t="inlineStr">
        <is>
          <t>XP, levels &amp; badges + progress banner</t>
        </is>
      </c>
      <c r="D16" s="11" t="inlineStr">
        <is>
          <t>Done</t>
        </is>
      </c>
      <c r="E16" s="12" t="inlineStr">
        <is>
          <t>-</t>
        </is>
      </c>
      <c r="F16" s="13" t="inlineStr"/>
    </row>
    <row r="17">
      <c r="A17" s="10" t="n">
        <v>16</v>
      </c>
      <c r="B17" s="10" t="inlineStr">
        <is>
          <t>Learn</t>
        </is>
      </c>
      <c r="C17" s="10" t="inlineStr">
        <is>
          <t>Kids section (Kiri mascot, confetti, stickers)</t>
        </is>
      </c>
      <c r="D17" s="11" t="inlineStr">
        <is>
          <t>Done</t>
        </is>
      </c>
      <c r="E17" s="12" t="inlineStr">
        <is>
          <t>-</t>
        </is>
      </c>
      <c r="F17" s="13" t="inlineStr"/>
    </row>
    <row r="18">
      <c r="A18" s="10" t="n">
        <v>17</v>
      </c>
      <c r="B18" s="10" t="inlineStr">
        <is>
          <t>Premium</t>
        </is>
      </c>
      <c r="C18" s="10" t="inlineStr">
        <is>
          <t>Premium gate (preview + upsell)</t>
        </is>
      </c>
      <c r="D18" s="11" t="inlineStr">
        <is>
          <t>Done</t>
        </is>
      </c>
      <c r="E18" s="12" t="inlineStr">
        <is>
          <t>-</t>
        </is>
      </c>
      <c r="F18" s="13" t="inlineStr"/>
    </row>
    <row r="19">
      <c r="A19" s="10" t="n">
        <v>18</v>
      </c>
      <c r="B19" s="10" t="inlineStr">
        <is>
          <t>Premium</t>
        </is>
      </c>
      <c r="C19" s="10" t="inlineStr">
        <is>
          <t>Take Action studio — 4 letter/submission templates</t>
        </is>
      </c>
      <c r="D19" s="11" t="inlineStr">
        <is>
          <t>Done</t>
        </is>
      </c>
      <c r="E19" s="12" t="inlineStr">
        <is>
          <t>-</t>
        </is>
      </c>
      <c r="F19" s="13" t="inlineStr"/>
    </row>
    <row r="20">
      <c r="A20" s="10" t="n">
        <v>19</v>
      </c>
      <c r="B20" s="10" t="inlineStr">
        <is>
          <t>Premium</t>
        </is>
      </c>
      <c r="C20" s="10" t="inlineStr">
        <is>
          <t>Stripe checkout + webhook + portal</t>
        </is>
      </c>
      <c r="D20" s="11" t="inlineStr">
        <is>
          <t>Done</t>
        </is>
      </c>
      <c r="E20" s="12" t="inlineStr">
        <is>
          <t>-</t>
        </is>
      </c>
      <c r="F20" s="13" t="inlineStr">
        <is>
          <t>Live &amp; tested</t>
        </is>
      </c>
    </row>
    <row r="21">
      <c r="A21" s="10" t="n">
        <v>20</v>
      </c>
      <c r="B21" s="10" t="inlineStr">
        <is>
          <t>Premium</t>
        </is>
      </c>
      <c r="C21" s="10" t="inlineStr">
        <is>
          <t>subscriptions + learn_progress tables (RLS + grants)</t>
        </is>
      </c>
      <c r="D21" s="11" t="inlineStr">
        <is>
          <t>Done</t>
        </is>
      </c>
      <c r="E21" s="12" t="inlineStr">
        <is>
          <t>-</t>
        </is>
      </c>
      <c r="F21" s="13" t="inlineStr"/>
    </row>
    <row r="22">
      <c r="A22" s="10" t="n">
        <v>21</v>
      </c>
      <c r="B22" s="10" t="inlineStr">
        <is>
          <t>Premium</t>
        </is>
      </c>
      <c r="C22" s="10" t="inlineStr">
        <is>
          <t>Pricing page (/subscription)</t>
        </is>
      </c>
      <c r="D22" s="11" t="inlineStr">
        <is>
          <t>Done</t>
        </is>
      </c>
      <c r="E22" s="12" t="inlineStr">
        <is>
          <t>-</t>
        </is>
      </c>
      <c r="F22" s="13" t="inlineStr">
        <is>
          <t>NZ$20 / month</t>
        </is>
      </c>
    </row>
    <row r="23">
      <c r="A23" s="10" t="n">
        <v>22</v>
      </c>
      <c r="B23" s="10" t="inlineStr">
        <is>
          <t>Premium</t>
        </is>
      </c>
      <c r="C23" s="10" t="inlineStr">
        <is>
          <t>Manage-billing button on dashboard</t>
        </is>
      </c>
      <c r="D23" s="11" t="inlineStr">
        <is>
          <t>Done</t>
        </is>
      </c>
      <c r="E23" s="12" t="inlineStr">
        <is>
          <t>-</t>
        </is>
      </c>
      <c r="F23" s="13" t="inlineStr"/>
    </row>
    <row r="24">
      <c r="A24" s="10" t="n">
        <v>23</v>
      </c>
      <c r="B24" s="10" t="inlineStr">
        <is>
          <t>Pages</t>
        </is>
      </c>
      <c r="C24" s="10" t="inlineStr">
        <is>
          <t>Parliament overview page (/parliament)</t>
        </is>
      </c>
      <c r="D24" s="14" t="inlineStr">
        <is>
          <t>To do</t>
        </is>
      </c>
      <c r="E24" s="15" t="inlineStr">
        <is>
          <t>High</t>
        </is>
      </c>
      <c r="F24" s="13" t="inlineStr">
        <is>
          <t>Broken nav link</t>
        </is>
      </c>
    </row>
    <row r="25">
      <c r="A25" s="10" t="n">
        <v>24</v>
      </c>
      <c r="B25" s="10" t="inlineStr">
        <is>
          <t>Pages</t>
        </is>
      </c>
      <c r="C25" s="10" t="inlineStr">
        <is>
          <t>Elections results pages (/elections)</t>
        </is>
      </c>
      <c r="D25" s="14" t="inlineStr">
        <is>
          <t>To do</t>
        </is>
      </c>
      <c r="E25" s="15" t="inlineStr">
        <is>
          <t>High</t>
        </is>
      </c>
      <c r="F25" s="13" t="inlineStr">
        <is>
          <t>Broken nav link</t>
        </is>
      </c>
    </row>
    <row r="26">
      <c r="A26" s="10" t="n">
        <v>25</v>
      </c>
      <c r="B26" s="10" t="inlineStr">
        <is>
          <t>Pages</t>
        </is>
      </c>
      <c r="C26" s="10" t="inlineStr">
        <is>
          <t>News feed (/news)</t>
        </is>
      </c>
      <c r="D26" s="14" t="inlineStr">
        <is>
          <t>To do</t>
        </is>
      </c>
      <c r="E26" s="16" t="inlineStr">
        <is>
          <t>Medium</t>
        </is>
      </c>
      <c r="F26" s="13" t="inlineStr">
        <is>
          <t>Broken nav link</t>
        </is>
      </c>
    </row>
    <row r="27">
      <c r="A27" s="10" t="n">
        <v>26</v>
      </c>
      <c r="B27" s="10" t="inlineStr">
        <is>
          <t>Pages</t>
        </is>
      </c>
      <c r="C27" s="10" t="inlineStr">
        <is>
          <t>Glossary (/glossary)</t>
        </is>
      </c>
      <c r="D27" s="14" t="inlineStr">
        <is>
          <t>To do</t>
        </is>
      </c>
      <c r="E27" s="16" t="inlineStr">
        <is>
          <t>Medium</t>
        </is>
      </c>
      <c r="F27" s="13" t="inlineStr">
        <is>
          <t>Footer link</t>
        </is>
      </c>
    </row>
    <row r="28">
      <c r="A28" s="10" t="n">
        <v>27</v>
      </c>
      <c r="B28" s="10" t="inlineStr">
        <is>
          <t>Pages</t>
        </is>
      </c>
      <c r="C28" s="10" t="inlineStr">
        <is>
          <t>About / Our Sources (/about)</t>
        </is>
      </c>
      <c r="D28" s="14" t="inlineStr">
        <is>
          <t>To do</t>
        </is>
      </c>
      <c r="E28" s="16" t="inlineStr">
        <is>
          <t>Medium</t>
        </is>
      </c>
      <c r="F28" s="13" t="inlineStr">
        <is>
          <t>Footer link</t>
        </is>
      </c>
    </row>
    <row r="29">
      <c r="A29" s="10" t="n">
        <v>28</v>
      </c>
      <c r="B29" s="10" t="inlineStr">
        <is>
          <t>Pages</t>
        </is>
      </c>
      <c r="C29" s="10" t="inlineStr">
        <is>
          <t>Public Polls page (/polls)</t>
        </is>
      </c>
      <c r="D29" s="14" t="inlineStr">
        <is>
          <t>To do</t>
        </is>
      </c>
      <c r="E29" s="17" t="inlineStr">
        <is>
          <t>Low</t>
        </is>
      </c>
      <c r="F29" s="13" t="inlineStr">
        <is>
          <t>Footer link</t>
        </is>
      </c>
    </row>
    <row r="30">
      <c r="A30" s="10" t="n">
        <v>29</v>
      </c>
      <c r="B30" s="10" t="inlineStr">
        <is>
          <t>Pages</t>
        </is>
      </c>
      <c r="C30" s="10" t="inlineStr">
        <is>
          <t>Legal — Privacy, Terms, Contact</t>
        </is>
      </c>
      <c r="D30" s="14" t="inlineStr">
        <is>
          <t>To do</t>
        </is>
      </c>
      <c r="E30" s="15" t="inlineStr">
        <is>
          <t>High</t>
        </is>
      </c>
      <c r="F30" s="13" t="inlineStr">
        <is>
          <t>Needed before launch</t>
        </is>
      </c>
    </row>
    <row r="31">
      <c r="A31" s="10" t="n">
        <v>30</v>
      </c>
      <c r="B31" s="10" t="inlineStr">
        <is>
          <t>Features</t>
        </is>
      </c>
      <c r="C31" s="10" t="inlineStr">
        <is>
          <t>Search</t>
        </is>
      </c>
      <c r="D31" s="14" t="inlineStr">
        <is>
          <t>To do</t>
        </is>
      </c>
      <c r="E31" s="16" t="inlineStr">
        <is>
          <t>Medium</t>
        </is>
      </c>
      <c r="F31" s="13" t="inlineStr"/>
    </row>
    <row r="32">
      <c r="A32" s="10" t="n">
        <v>31</v>
      </c>
      <c r="B32" s="10" t="inlineStr">
        <is>
          <t>Features</t>
        </is>
      </c>
      <c r="C32" s="10" t="inlineStr">
        <is>
          <t>Compare tool</t>
        </is>
      </c>
      <c r="D32" s="14" t="inlineStr">
        <is>
          <t>To do</t>
        </is>
      </c>
      <c r="E32" s="17" t="inlineStr">
        <is>
          <t>Low</t>
        </is>
      </c>
      <c r="F32" s="13" t="inlineStr"/>
    </row>
    <row r="33">
      <c r="A33" s="10" t="n">
        <v>32</v>
      </c>
      <c r="B33" s="10" t="inlineStr">
        <is>
          <t>Features</t>
        </is>
      </c>
      <c r="C33" s="10" t="inlineStr">
        <is>
          <t>Bookmarks &amp; alerts (dashboard)</t>
        </is>
      </c>
      <c r="D33" s="14" t="inlineStr">
        <is>
          <t>To do</t>
        </is>
      </c>
      <c r="E33" s="16" t="inlineStr">
        <is>
          <t>Medium</t>
        </is>
      </c>
      <c r="F33" s="13" t="inlineStr">
        <is>
          <t>Needs table + RLS</t>
        </is>
      </c>
    </row>
    <row r="34">
      <c r="A34" s="10" t="n">
        <v>33</v>
      </c>
      <c r="B34" s="10" t="inlineStr">
        <is>
          <t>Data</t>
        </is>
      </c>
      <c r="C34" s="10" t="inlineStr">
        <is>
          <t>Live Parliament data (votes, divisions, member-in-charge)</t>
        </is>
      </c>
      <c r="D34" s="14" t="inlineStr">
        <is>
          <t>To do</t>
        </is>
      </c>
      <c r="E34" s="16" t="inlineStr">
        <is>
          <t>Medium</t>
        </is>
      </c>
      <c r="F34" s="13" t="inlineStr">
        <is>
          <t>Needs API integration</t>
        </is>
      </c>
    </row>
    <row r="35">
      <c r="A35" s="10" t="n">
        <v>34</v>
      </c>
      <c r="B35" s="10" t="inlineStr">
        <is>
          <t>Data</t>
        </is>
      </c>
      <c r="C35" s="10" t="inlineStr">
        <is>
          <t>Policy positions per party (Policy Hub detail)</t>
        </is>
      </c>
      <c r="D35" s="14" t="inlineStr">
        <is>
          <t>To do</t>
        </is>
      </c>
      <c r="E35" s="16" t="inlineStr">
        <is>
          <t>Medium</t>
        </is>
      </c>
      <c r="F35" s="13" t="inlineStr">
        <is>
          <t>Source from manifestos</t>
        </is>
      </c>
    </row>
    <row r="36">
      <c r="A36" s="10" t="n">
        <v>35</v>
      </c>
      <c r="B36" s="10" t="inlineStr">
        <is>
          <t>Data</t>
        </is>
      </c>
      <c r="C36" s="10" t="inlineStr">
        <is>
          <t>Judith Collins profile</t>
        </is>
      </c>
      <c r="D36" s="14" t="inlineStr">
        <is>
          <t>To do</t>
        </is>
      </c>
      <c r="E36" s="17" t="inlineStr">
        <is>
          <t>Low</t>
        </is>
      </c>
      <c r="F36" s="13" t="inlineStr">
        <is>
          <t>parliament.nz page down</t>
        </is>
      </c>
    </row>
    <row r="37">
      <c r="A37" s="10" t="n">
        <v>36</v>
      </c>
      <c r="B37" s="10" t="inlineStr">
        <is>
          <t>Launch</t>
        </is>
      </c>
      <c r="C37" s="10" t="inlineStr">
        <is>
          <t>Register domain (aratika.nz / .org.nz)</t>
        </is>
      </c>
      <c r="D37" s="14" t="inlineStr">
        <is>
          <t>To do</t>
        </is>
      </c>
      <c r="E37" s="15" t="inlineStr">
        <is>
          <t>High</t>
        </is>
      </c>
      <c r="F37" s="13" t="inlineStr"/>
    </row>
    <row r="38">
      <c r="A38" s="10" t="n">
        <v>37</v>
      </c>
      <c r="B38" s="10" t="inlineStr">
        <is>
          <t>Launch</t>
        </is>
      </c>
      <c r="C38" s="10" t="inlineStr">
        <is>
          <t>Project email (hello@aratika.nz)</t>
        </is>
      </c>
      <c r="D38" s="14" t="inlineStr">
        <is>
          <t>To do</t>
        </is>
      </c>
      <c r="E38" s="16" t="inlineStr">
        <is>
          <t>Medium</t>
        </is>
      </c>
      <c r="F38" s="13" t="inlineStr"/>
    </row>
    <row r="39">
      <c r="A39" s="10" t="n">
        <v>38</v>
      </c>
      <c r="B39" s="10" t="inlineStr">
        <is>
          <t>Launch</t>
        </is>
      </c>
      <c r="C39" s="10" t="inlineStr">
        <is>
          <t>Deploy to hosting (Vercel)</t>
        </is>
      </c>
      <c r="D39" s="14" t="inlineStr">
        <is>
          <t>To do</t>
        </is>
      </c>
      <c r="E39" s="15" t="inlineStr">
        <is>
          <t>High</t>
        </is>
      </c>
      <c r="F39" s="13" t="inlineStr"/>
    </row>
    <row r="40">
      <c r="A40" s="10" t="n">
        <v>39</v>
      </c>
      <c r="B40" s="10" t="inlineStr">
        <is>
          <t>Launch</t>
        </is>
      </c>
      <c r="C40" s="10" t="inlineStr">
        <is>
          <t>Switch Stripe to live mode</t>
        </is>
      </c>
      <c r="D40" s="14" t="inlineStr">
        <is>
          <t>To do</t>
        </is>
      </c>
      <c r="E40" s="15" t="inlineStr">
        <is>
          <t>High</t>
        </is>
      </c>
      <c r="F40" s="13" t="inlineStr">
        <is>
          <t>When launching</t>
        </is>
      </c>
    </row>
    <row r="41">
      <c r="A41" s="10" t="n">
        <v>40</v>
      </c>
      <c r="B41" s="10" t="inlineStr">
        <is>
          <t>Launch</t>
        </is>
      </c>
      <c r="C41" s="10" t="inlineStr">
        <is>
          <t>GST / business registration</t>
        </is>
      </c>
      <c r="D41" s="14" t="inlineStr">
        <is>
          <t>To do</t>
        </is>
      </c>
      <c r="E41" s="16" t="inlineStr">
        <is>
          <t>Medium</t>
        </is>
      </c>
      <c r="F41" s="13" t="inlineStr">
        <is>
          <t>Check with IRD / accountant</t>
        </is>
      </c>
    </row>
    <row r="42">
      <c r="A42" s="10" t="n">
        <v>41</v>
      </c>
      <c r="B42" s="10" t="inlineStr">
        <is>
          <t>Future</t>
        </is>
      </c>
      <c r="C42" s="10" t="inlineStr">
        <is>
          <t>Te Reo Maori language layer</t>
        </is>
      </c>
      <c r="D42" s="18" t="inlineStr">
        <is>
          <t>Future</t>
        </is>
      </c>
      <c r="E42" s="12" t="inlineStr">
        <is>
          <t>-</t>
        </is>
      </c>
      <c r="F42" s="13" t="inlineStr"/>
    </row>
    <row r="43">
      <c r="A43" s="10" t="n">
        <v>42</v>
      </c>
      <c r="B43" s="10" t="inlineStr">
        <is>
          <t>Future</t>
        </is>
      </c>
      <c r="C43" s="10" t="inlineStr">
        <is>
          <t>Children's civic education expansion</t>
        </is>
      </c>
      <c r="D43" s="18" t="inlineStr">
        <is>
          <t>Future</t>
        </is>
      </c>
      <c r="E43" s="12" t="inlineStr">
        <is>
          <t>-</t>
        </is>
      </c>
      <c r="F43" s="13" t="inlineStr"/>
    </row>
    <row r="44">
      <c r="A44" s="10" t="n">
        <v>43</v>
      </c>
      <c r="B44" s="10" t="inlineStr">
        <is>
          <t>Future</t>
        </is>
      </c>
      <c r="C44" s="10" t="inlineStr">
        <is>
          <t>AI assistant (Phase 3)</t>
        </is>
      </c>
      <c r="D44" s="18" t="inlineStr">
        <is>
          <t>Future</t>
        </is>
      </c>
      <c r="E44" s="12" t="inlineStr">
        <is>
          <t>-</t>
        </is>
      </c>
      <c r="F44" s="13" t="inlineStr"/>
    </row>
    <row r="45">
      <c r="A45" s="10" t="n">
        <v>44</v>
      </c>
      <c r="B45" s="10" t="inlineStr">
        <is>
          <t>Future</t>
        </is>
      </c>
      <c r="C45" s="10" t="inlineStr">
        <is>
          <t>AI-assisted letter drafting</t>
        </is>
      </c>
      <c r="D45" s="18" t="inlineStr">
        <is>
          <t>Future</t>
        </is>
      </c>
      <c r="E45" s="12" t="inlineStr">
        <is>
          <t>-</t>
        </is>
      </c>
      <c r="F45" s="13" t="inlineStr"/>
    </row>
    <row r="46">
      <c r="A46" s="10" t="n">
        <v>45</v>
      </c>
      <c r="B46" s="10" t="inlineStr">
        <is>
          <t>Future</t>
        </is>
      </c>
      <c r="C46" s="10" t="inlineStr">
        <is>
          <t>Org / classroom subscription tier</t>
        </is>
      </c>
      <c r="D46" s="18" t="inlineStr">
        <is>
          <t>Future</t>
        </is>
      </c>
      <c r="E46" s="12" t="inlineStr">
        <is>
          <t>-</t>
        </is>
      </c>
      <c r="F46" s="13" t="inlineStr"/>
    </row>
    <row r="47">
      <c r="A47" s="10" t="n">
        <v>46</v>
      </c>
      <c r="B47" s="10" t="inlineStr">
        <is>
          <t>Future</t>
        </is>
      </c>
      <c r="C47" s="10" t="inlineStr">
        <is>
          <t>Video explainer layer</t>
        </is>
      </c>
      <c r="D47" s="18" t="inlineStr">
        <is>
          <t>Future</t>
        </is>
      </c>
      <c r="E47" s="12" t="inlineStr">
        <is>
          <t>-</t>
        </is>
      </c>
      <c r="F47" s="13" t="inlineStr">
        <is>
          <t>Parked</t>
        </is>
      </c>
    </row>
  </sheetData>
  <autoFilter ref="A1:F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2026-06-10T09:19:24Z</dcterms:created>
  <dcterms:modified xmlns:dcterms="http://purl.org/dc/terms/" xmlns:xsi="http://www.w3.org/2001/XMLSchema-instance" xsi:type="dcterms:W3CDTF">2026-06-10T09:19:24Z</dcterms:modified>
</cp:coreProperties>
</file>